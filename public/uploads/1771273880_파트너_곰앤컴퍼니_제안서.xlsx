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1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m112\GOM&amp;COMPANY\gis - 광고사업\광고운영셀\SW_제안\"/>
    </mc:Choice>
  </mc:AlternateContent>
  <xr:revisionPtr revIDLastSave="195" documentId="11_EF4100F00C1F4FD1DEF5766827CD111145B9DEC9" xr6:coauthVersionLast="47" xr6:coauthVersionMax="47" xr10:uidLastSave="{39D95467-F8DE-4945-B669-706F2E7F9F28}"/>
  <bookViews>
    <workbookView xWindow="0" yWindow="0" windowWidth="28800" windowHeight="12285" tabRatio="776" xr2:uid="{00000000-000D-0000-FFFF-FFFF00000000}"/>
  </bookViews>
  <sheets>
    <sheet name="미디어믹스" sheetId="4" r:id="rId1"/>
  </sheets>
  <definedNames>
    <definedName name="_xlnm.Print_Area" localSheetId="0">미디어믹스!#REF!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4" l="1"/>
  <c r="I22" i="4"/>
  <c r="I23" i="4"/>
  <c r="I20" i="4"/>
  <c r="I13" i="4"/>
  <c r="I14" i="4"/>
  <c r="I12" i="4"/>
  <c r="L21" i="4"/>
  <c r="L22" i="4"/>
  <c r="L23" i="4"/>
  <c r="L20" i="4"/>
  <c r="L14" i="4"/>
  <c r="L13" i="4"/>
  <c r="L12" i="4"/>
  <c r="I24" i="4"/>
  <c r="I15" i="4"/>
  <c r="M22" i="4"/>
  <c r="M23" i="4"/>
  <c r="M14" i="4"/>
  <c r="N24" i="4"/>
  <c r="H24" i="4"/>
  <c r="M21" i="4"/>
  <c r="M24" i="4" s="1"/>
  <c r="O20" i="4" s="1"/>
  <c r="H15" i="4" l="1"/>
  <c r="M13" i="4" l="1"/>
  <c r="M15" i="4" s="1"/>
  <c r="O12" i="4" s="1"/>
  <c r="N15" i="4" l="1"/>
</calcChain>
</file>

<file path=xl/sharedStrings.xml><?xml version="1.0" encoding="utf-8"?>
<sst xmlns="http://schemas.openxmlformats.org/spreadsheetml/2006/main" count="76" uniqueCount="43">
  <si>
    <t>광고주</t>
  </si>
  <si>
    <t>요청인</t>
  </si>
  <si>
    <t>담당자</t>
  </si>
  <si>
    <t>박성훈</t>
    <phoneticPr fontId="4" type="noConversion"/>
  </si>
  <si>
    <t>Budget</t>
  </si>
  <si>
    <t>30,000,000원 (VAT 별도)</t>
  </si>
  <si>
    <t>소속</t>
  </si>
  <si>
    <t>광고운영셀</t>
    <phoneticPr fontId="4" type="noConversion"/>
  </si>
  <si>
    <t>대행사</t>
    <phoneticPr fontId="3" type="noConversion"/>
  </si>
  <si>
    <t>-</t>
    <phoneticPr fontId="4" type="noConversion"/>
  </si>
  <si>
    <t>기간</t>
    <phoneticPr fontId="3" type="noConversion"/>
  </si>
  <si>
    <t>1개월</t>
  </si>
  <si>
    <t>e-mail</t>
  </si>
  <si>
    <t>wotoe20@gomcorp.com</t>
    <phoneticPr fontId="4" type="noConversion"/>
  </si>
  <si>
    <t>◎ 본 제안의 유효기간은 제안일로부터 1개월까지며, 파란색으로 표기된 Impression 및 Click은 예상 수치이므로 보장하지 않습니다.</t>
    <phoneticPr fontId="3" type="noConversion"/>
  </si>
  <si>
    <t>◎ 기간내 인벤토리 부킹 현황 및 기타 내부 사정(개편 등)에 따라 제안 내역이 변경 될 수 있습니다.</t>
    <phoneticPr fontId="3" type="noConversion"/>
  </si>
  <si>
    <r>
      <rPr>
        <b/>
        <sz val="9"/>
        <color rgb="FFC00000"/>
        <rFont val="나눔고딕"/>
      </rPr>
      <t>[DA Mix]</t>
    </r>
    <r>
      <rPr>
        <b/>
        <sz val="9"/>
        <color rgb="FF000000"/>
        <rFont val="나눔고딕"/>
      </rPr>
      <t xml:space="preserve"> 30,000,000</t>
    </r>
    <r>
      <rPr>
        <sz val="9"/>
        <color rgb="FF000000"/>
        <rFont val="나눔고딕"/>
      </rPr>
      <t>원(VAT별도)</t>
    </r>
  </si>
  <si>
    <t>기간</t>
  </si>
  <si>
    <t>Slot</t>
  </si>
  <si>
    <t>Type</t>
  </si>
  <si>
    <t>타겟팅</t>
  </si>
  <si>
    <t>Size</t>
  </si>
  <si>
    <t>빌링타입</t>
    <phoneticPr fontId="4" type="noConversion"/>
  </si>
  <si>
    <t>Impression</t>
  </si>
  <si>
    <t>서비스</t>
  </si>
  <si>
    <t>단가</t>
    <phoneticPr fontId="4" type="noConversion"/>
  </si>
  <si>
    <t>Av. CTR</t>
  </si>
  <si>
    <t>Ex. Click</t>
  </si>
  <si>
    <t>Cost</t>
  </si>
  <si>
    <t>할인율</t>
  </si>
  <si>
    <t>GOMPLAYER DA</t>
    <phoneticPr fontId="4" type="noConversion"/>
  </si>
  <si>
    <t>브랜디드</t>
  </si>
  <si>
    <t>X</t>
    <phoneticPr fontId="4" type="noConversion"/>
  </si>
  <si>
    <t>1000 * 600</t>
  </si>
  <si>
    <t>구좌</t>
  </si>
  <si>
    <t>텍스트</t>
  </si>
  <si>
    <t>CPC</t>
  </si>
  <si>
    <t>엔딩 브라우저</t>
  </si>
  <si>
    <t>-</t>
  </si>
  <si>
    <t>Sub Total</t>
  </si>
  <si>
    <r>
      <rPr>
        <b/>
        <sz val="9"/>
        <color rgb="FFC00000"/>
        <rFont val="나눔고딕"/>
      </rPr>
      <t>[DA Mix]</t>
    </r>
    <r>
      <rPr>
        <b/>
        <sz val="9"/>
        <color rgb="FF000000"/>
        <rFont val="나눔고딕"/>
      </rPr>
      <t xml:space="preserve"> 50,000,000</t>
    </r>
    <r>
      <rPr>
        <sz val="9"/>
        <color rgb="FF000000"/>
        <rFont val="나눔고딕"/>
      </rPr>
      <t>원(VAT별도)</t>
    </r>
  </si>
  <si>
    <t>토스트</t>
  </si>
  <si>
    <t>300 *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</si>
</sst>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,##0_);[Red]\(#,##0\)"/>
    <numFmt numFmtId="177" formatCode="yyyy&quot;년&quot;\ m&quot;월&quot;\ d&quot;일&quot;;@"/>
    <numFmt numFmtId="178" formatCode="&quot;₩&quot;#,##0"/>
  </numFmts>
  <fonts count="29"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color indexed="8"/>
      <name val="나눔고딕"/>
      <family val="3"/>
      <charset val="129"/>
    </font>
    <font>
      <sz val="9"/>
      <name val="나눔고딕"/>
      <family val="3"/>
      <charset val="129"/>
    </font>
    <font>
      <b/>
      <sz val="9"/>
      <color indexed="9"/>
      <name val="나눔고딕"/>
      <family val="3"/>
      <charset val="129"/>
    </font>
    <font>
      <sz val="9"/>
      <color theme="1"/>
      <name val="나눔고딕"/>
      <family val="3"/>
      <charset val="129"/>
    </font>
    <font>
      <b/>
      <sz val="9"/>
      <name val="나눔고딕"/>
      <family val="3"/>
      <charset val="129"/>
    </font>
    <font>
      <sz val="9"/>
      <color rgb="FF0000CC"/>
      <name val="나눔고딕"/>
      <family val="3"/>
      <charset val="129"/>
    </font>
    <font>
      <b/>
      <sz val="9"/>
      <color theme="1"/>
      <name val="나눔고딕"/>
      <family val="3"/>
      <charset val="129"/>
    </font>
    <font>
      <b/>
      <sz val="8"/>
      <color indexed="9"/>
      <name val="나눔고딕"/>
      <family val="3"/>
      <charset val="129"/>
    </font>
    <font>
      <b/>
      <sz val="8"/>
      <color rgb="FFF6882E"/>
      <name val="나눔고딕"/>
      <family val="3"/>
      <charset val="129"/>
    </font>
    <font>
      <b/>
      <sz val="8"/>
      <name val="나눔고딕"/>
      <family val="3"/>
      <charset val="129"/>
    </font>
    <font>
      <sz val="8"/>
      <color theme="1"/>
      <name val="나눔고딕"/>
      <family val="3"/>
      <charset val="129"/>
    </font>
    <font>
      <sz val="8"/>
      <name val="나눔고딕"/>
      <family val="3"/>
      <charset val="129"/>
    </font>
    <font>
      <sz val="8"/>
      <color theme="1" tint="0.34998626667073579"/>
      <name val="나눔고딕"/>
      <family val="3"/>
      <charset val="129"/>
    </font>
    <font>
      <b/>
      <sz val="8"/>
      <color theme="1" tint="0.34998626667073579"/>
      <name val="나눔고딕"/>
      <family val="3"/>
      <charset val="129"/>
    </font>
    <font>
      <u/>
      <sz val="8"/>
      <color theme="1" tint="0.34998626667073579"/>
      <name val="나눔고딕"/>
      <family val="3"/>
      <charset val="129"/>
    </font>
    <font>
      <sz val="9"/>
      <color rgb="FF0000FF"/>
      <name val="나눔고딕"/>
      <family val="3"/>
      <charset val="129"/>
    </font>
    <font>
      <sz val="9"/>
      <color indexed="8"/>
      <name val="나눔고딕"/>
      <family val="3"/>
      <charset val="129"/>
    </font>
    <font>
      <b/>
      <sz val="9"/>
      <color rgb="FFC00000"/>
      <name val="나눔고딕"/>
    </font>
    <font>
      <b/>
      <sz val="9"/>
      <color rgb="FF000000"/>
      <name val="나눔고딕"/>
    </font>
    <font>
      <sz val="9"/>
      <color rgb="FF000000"/>
      <name val="나눔고딕"/>
    </font>
    <font>
      <b/>
      <sz val="9"/>
      <color rgb="FF0070C0"/>
      <name val="나눔고딕"/>
    </font>
    <font>
      <sz val="9"/>
      <color theme="0"/>
      <name val="나눔고딕"/>
      <family val="3"/>
      <charset val="129"/>
    </font>
    <font>
      <sz val="9"/>
      <color rgb="FF0066FF"/>
      <name val="나눔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4545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2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8">
    <xf numFmtId="0" fontId="0" fillId="0" borderId="0" xfId="0">
      <alignment vertical="center"/>
    </xf>
    <xf numFmtId="0" fontId="6" fillId="0" borderId="0" xfId="0" applyFont="1">
      <alignment vertical="center"/>
    </xf>
    <xf numFmtId="0" fontId="8" fillId="0" borderId="0" xfId="7" applyFont="1" applyAlignment="1">
      <alignment horizontal="center" vertical="center"/>
    </xf>
    <xf numFmtId="0" fontId="9" fillId="0" borderId="0" xfId="0" applyFont="1">
      <alignment vertical="center"/>
    </xf>
    <xf numFmtId="176" fontId="9" fillId="0" borderId="0" xfId="0" applyNumberFormat="1" applyFont="1">
      <alignment vertical="center"/>
    </xf>
    <xf numFmtId="10" fontId="9" fillId="0" borderId="0" xfId="0" applyNumberFormat="1" applyFont="1">
      <alignment vertical="center"/>
    </xf>
    <xf numFmtId="0" fontId="7" fillId="0" borderId="0" xfId="8" applyFont="1" applyAlignment="1">
      <alignment vertical="center"/>
    </xf>
    <xf numFmtId="176" fontId="7" fillId="0" borderId="0" xfId="8" applyNumberFormat="1" applyFont="1" applyAlignment="1">
      <alignment vertical="center"/>
    </xf>
    <xf numFmtId="10" fontId="7" fillId="0" borderId="0" xfId="8" applyNumberFormat="1" applyFont="1" applyAlignment="1">
      <alignment vertical="center"/>
    </xf>
    <xf numFmtId="0" fontId="13" fillId="0" borderId="0" xfId="7" applyFont="1" applyAlignment="1">
      <alignment horizontal="center" vertical="center"/>
    </xf>
    <xf numFmtId="0" fontId="14" fillId="5" borderId="1" xfId="8" applyFont="1" applyFill="1" applyBorder="1" applyAlignment="1">
      <alignment horizontal="center" vertical="center"/>
    </xf>
    <xf numFmtId="0" fontId="16" fillId="0" borderId="0" xfId="0" applyFont="1">
      <alignment vertical="center"/>
    </xf>
    <xf numFmtId="0" fontId="11" fillId="0" borderId="0" xfId="0" applyFont="1">
      <alignment vertical="center"/>
    </xf>
    <xf numFmtId="176" fontId="11" fillId="0" borderId="0" xfId="0" applyNumberFormat="1" applyFont="1">
      <alignment vertical="center"/>
    </xf>
    <xf numFmtId="10" fontId="11" fillId="0" borderId="0" xfId="0" applyNumberFormat="1" applyFont="1">
      <alignment vertical="center"/>
    </xf>
    <xf numFmtId="0" fontId="18" fillId="0" borderId="0" xfId="0" applyFont="1">
      <alignment vertical="center"/>
    </xf>
    <xf numFmtId="0" fontId="18" fillId="0" borderId="0" xfId="0" applyFont="1" applyAlignment="1"/>
    <xf numFmtId="0" fontId="18" fillId="0" borderId="0" xfId="8" applyFont="1" applyAlignment="1">
      <alignment horizontal="center" vertical="center" wrapText="1"/>
    </xf>
    <xf numFmtId="0" fontId="18" fillId="0" borderId="0" xfId="8" applyFont="1" applyAlignment="1">
      <alignment horizontal="center" vertical="center"/>
    </xf>
    <xf numFmtId="0" fontId="19" fillId="0" borderId="0" xfId="8" applyFont="1" applyAlignment="1">
      <alignment horizontal="center" vertical="center"/>
    </xf>
    <xf numFmtId="177" fontId="18" fillId="0" borderId="0" xfId="8" applyNumberFormat="1" applyFont="1" applyAlignment="1">
      <alignment horizontal="center" vertical="center"/>
    </xf>
    <xf numFmtId="0" fontId="20" fillId="0" borderId="0" xfId="11" applyFont="1" applyFill="1" applyBorder="1" applyAlignment="1" applyProtection="1">
      <alignment horizontal="center" vertical="center"/>
    </xf>
    <xf numFmtId="0" fontId="18" fillId="0" borderId="0" xfId="0" applyFont="1" applyAlignment="1">
      <alignment vertical="top"/>
    </xf>
    <xf numFmtId="9" fontId="18" fillId="0" borderId="0" xfId="1" applyFont="1" applyFill="1">
      <alignment vertical="center"/>
    </xf>
    <xf numFmtId="41" fontId="18" fillId="0" borderId="0" xfId="4" applyFont="1" applyFill="1">
      <alignment vertical="center"/>
    </xf>
    <xf numFmtId="0" fontId="9" fillId="0" borderId="2" xfId="0" applyFont="1" applyBorder="1">
      <alignment vertical="center"/>
    </xf>
    <xf numFmtId="176" fontId="9" fillId="0" borderId="2" xfId="0" applyNumberFormat="1" applyFont="1" applyBorder="1">
      <alignment vertical="center"/>
    </xf>
    <xf numFmtId="10" fontId="9" fillId="0" borderId="2" xfId="0" applyNumberFormat="1" applyFont="1" applyBorder="1">
      <alignment vertical="center"/>
    </xf>
    <xf numFmtId="0" fontId="26" fillId="0" borderId="0" xfId="0" applyFont="1">
      <alignment vertical="center"/>
    </xf>
    <xf numFmtId="0" fontId="7" fillId="0" borderId="5" xfId="8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/>
    </xf>
    <xf numFmtId="41" fontId="21" fillId="0" borderId="5" xfId="4" applyFont="1" applyFill="1" applyBorder="1" applyAlignment="1">
      <alignment vertical="center"/>
    </xf>
    <xf numFmtId="10" fontId="7" fillId="4" borderId="5" xfId="1" applyNumberFormat="1" applyFont="1" applyFill="1" applyBorder="1" applyAlignment="1">
      <alignment vertical="center"/>
    </xf>
    <xf numFmtId="41" fontId="7" fillId="0" borderId="5" xfId="4" applyFont="1" applyFill="1" applyBorder="1" applyAlignment="1">
      <alignment vertical="center"/>
    </xf>
    <xf numFmtId="0" fontId="8" fillId="5" borderId="3" xfId="8" applyFont="1" applyFill="1" applyBorder="1" applyAlignment="1">
      <alignment horizontal="center" vertical="center"/>
    </xf>
    <xf numFmtId="41" fontId="8" fillId="5" borderId="3" xfId="5" applyFont="1" applyFill="1" applyBorder="1" applyAlignment="1">
      <alignment horizontal="center" vertical="center"/>
    </xf>
    <xf numFmtId="176" fontId="8" fillId="5" borderId="3" xfId="5" applyNumberFormat="1" applyFont="1" applyFill="1" applyBorder="1" applyAlignment="1">
      <alignment horizontal="center" vertical="center"/>
    </xf>
    <xf numFmtId="10" fontId="8" fillId="5" borderId="3" xfId="8" applyNumberFormat="1" applyFont="1" applyFill="1" applyBorder="1" applyAlignment="1">
      <alignment horizontal="center" vertical="center"/>
    </xf>
    <xf numFmtId="0" fontId="10" fillId="2" borderId="8" xfId="8" applyFont="1" applyFill="1" applyBorder="1" applyAlignment="1">
      <alignment horizontal="center" vertical="center"/>
    </xf>
    <xf numFmtId="41" fontId="10" fillId="2" borderId="8" xfId="5" applyFont="1" applyFill="1" applyBorder="1" applyAlignment="1">
      <alignment horizontal="center" vertical="center"/>
    </xf>
    <xf numFmtId="41" fontId="10" fillId="2" borderId="8" xfId="8" applyNumberFormat="1" applyFont="1" applyFill="1" applyBorder="1" applyAlignment="1">
      <alignment horizontal="center" vertical="center"/>
    </xf>
    <xf numFmtId="176" fontId="10" fillId="2" borderId="8" xfId="5" applyNumberFormat="1" applyFont="1" applyFill="1" applyBorder="1" applyAlignment="1">
      <alignment horizontal="right" vertical="center"/>
    </xf>
    <xf numFmtId="10" fontId="10" fillId="2" borderId="8" xfId="5" applyNumberFormat="1" applyFont="1" applyFill="1" applyBorder="1" applyAlignment="1">
      <alignment horizontal="center" vertical="center"/>
    </xf>
    <xf numFmtId="41" fontId="10" fillId="7" borderId="8" xfId="8" applyNumberFormat="1" applyFont="1" applyFill="1" applyBorder="1" applyAlignment="1">
      <alignment horizontal="center" vertical="center"/>
    </xf>
    <xf numFmtId="0" fontId="7" fillId="4" borderId="5" xfId="8" applyFont="1" applyFill="1" applyBorder="1" applyAlignment="1">
      <alignment horizontal="center" vertical="center" wrapText="1"/>
    </xf>
    <xf numFmtId="0" fontId="7" fillId="0" borderId="9" xfId="8" applyFont="1" applyBorder="1" applyAlignment="1">
      <alignment horizontal="center" vertical="center"/>
    </xf>
    <xf numFmtId="0" fontId="7" fillId="0" borderId="10" xfId="8" applyFont="1" applyBorder="1" applyAlignment="1">
      <alignment horizontal="center" vertical="center"/>
    </xf>
    <xf numFmtId="0" fontId="7" fillId="0" borderId="11" xfId="8" applyFont="1" applyBorder="1" applyAlignment="1">
      <alignment horizontal="center" vertical="center"/>
    </xf>
    <xf numFmtId="0" fontId="10" fillId="2" borderId="4" xfId="8" applyFont="1" applyFill="1" applyBorder="1" applyAlignment="1">
      <alignment horizontal="center" vertical="center"/>
    </xf>
    <xf numFmtId="0" fontId="10" fillId="2" borderId="6" xfId="8" applyFont="1" applyFill="1" applyBorder="1" applyAlignment="1">
      <alignment horizontal="center" vertical="center"/>
    </xf>
    <xf numFmtId="0" fontId="10" fillId="2" borderId="7" xfId="8" applyFont="1" applyFill="1" applyBorder="1" applyAlignment="1">
      <alignment horizontal="center" vertical="center"/>
    </xf>
    <xf numFmtId="0" fontId="7" fillId="0" borderId="9" xfId="8" applyFont="1" applyBorder="1" applyAlignment="1">
      <alignment horizontal="center" vertical="center" wrapText="1"/>
    </xf>
    <xf numFmtId="0" fontId="7" fillId="0" borderId="10" xfId="8" applyFont="1" applyBorder="1" applyAlignment="1">
      <alignment horizontal="center" vertical="center" wrapText="1"/>
    </xf>
    <xf numFmtId="0" fontId="7" fillId="0" borderId="11" xfId="8" applyFont="1" applyBorder="1" applyAlignment="1">
      <alignment horizontal="center" vertical="center" wrapText="1"/>
    </xf>
    <xf numFmtId="0" fontId="14" fillId="5" borderId="1" xfId="8" applyFont="1" applyFill="1" applyBorder="1" applyAlignment="1">
      <alignment horizontal="center" vertical="center"/>
    </xf>
    <xf numFmtId="0" fontId="17" fillId="4" borderId="1" xfId="8" applyFont="1" applyFill="1" applyBorder="1" applyAlignment="1">
      <alignment horizontal="center" vertical="center"/>
    </xf>
    <xf numFmtId="178" fontId="17" fillId="3" borderId="1" xfId="4" applyNumberFormat="1" applyFont="1" applyFill="1" applyBorder="1" applyAlignment="1">
      <alignment horizontal="center" vertical="center" wrapText="1"/>
    </xf>
    <xf numFmtId="0" fontId="15" fillId="3" borderId="1" xfId="8" applyFont="1" applyFill="1" applyBorder="1" applyAlignment="1">
      <alignment horizontal="center" vertical="center" wrapText="1"/>
    </xf>
    <xf numFmtId="0" fontId="17" fillId="3" borderId="1" xfId="8" applyFont="1" applyFill="1" applyBorder="1" applyAlignment="1">
      <alignment horizontal="center" vertical="center" wrapText="1"/>
    </xf>
    <xf numFmtId="177" fontId="17" fillId="3" borderId="1" xfId="8" applyNumberFormat="1" applyFont="1" applyFill="1" applyBorder="1" applyAlignment="1">
      <alignment horizontal="center" vertical="center"/>
    </xf>
    <xf numFmtId="9" fontId="27" fillId="0" borderId="0" xfId="0" applyNumberFormat="1" applyFont="1">
      <alignment vertical="center"/>
    </xf>
    <xf numFmtId="41" fontId="12" fillId="4" borderId="12" xfId="4" applyFont="1" applyFill="1" applyBorder="1" applyAlignment="1">
      <alignment horizontal="center" vertical="center"/>
    </xf>
    <xf numFmtId="41" fontId="10" fillId="6" borderId="4" xfId="8" applyNumberFormat="1" applyFont="1" applyFill="1" applyBorder="1" applyAlignment="1">
      <alignment horizontal="center" vertical="center"/>
    </xf>
    <xf numFmtId="176" fontId="8" fillId="5" borderId="5" xfId="5" applyNumberFormat="1" applyFont="1" applyFill="1" applyBorder="1" applyAlignment="1">
      <alignment horizontal="center" vertical="center"/>
    </xf>
    <xf numFmtId="176" fontId="8" fillId="5" borderId="14" xfId="5" applyNumberFormat="1" applyFont="1" applyFill="1" applyBorder="1" applyAlignment="1">
      <alignment horizontal="center" vertical="center"/>
    </xf>
    <xf numFmtId="41" fontId="12" fillId="4" borderId="15" xfId="4" applyFont="1" applyFill="1" applyBorder="1" applyAlignment="1">
      <alignment horizontal="center" vertical="center"/>
    </xf>
    <xf numFmtId="41" fontId="12" fillId="4" borderId="13" xfId="4" applyFont="1" applyFill="1" applyBorder="1" applyAlignment="1">
      <alignment horizontal="center" vertical="center"/>
    </xf>
    <xf numFmtId="9" fontId="28" fillId="7" borderId="5" xfId="0" applyNumberFormat="1" applyFont="1" applyFill="1" applyBorder="1" applyAlignment="1">
      <alignment horizontal="center" vertical="center"/>
    </xf>
  </cellXfs>
  <cellStyles count="12">
    <cellStyle name="백분율" xfId="1" builtinId="5"/>
    <cellStyle name="백분율 3" xfId="2" xr:uid="{00000000-0005-0000-0000-000001000000}"/>
    <cellStyle name="백분율 3 2" xfId="3" xr:uid="{00000000-0005-0000-0000-000002000000}"/>
    <cellStyle name="쉼표 [0]" xfId="4" builtinId="6"/>
    <cellStyle name="쉼표 [0] 3" xfId="5" xr:uid="{00000000-0005-0000-0000-000004000000}"/>
    <cellStyle name="쉼표 [0] 3 2" xfId="6" xr:uid="{00000000-0005-0000-0000-000005000000}"/>
    <cellStyle name="표준" xfId="0" builtinId="0"/>
    <cellStyle name="표준 2" xfId="7" xr:uid="{00000000-0005-0000-0000-000007000000}"/>
    <cellStyle name="표준 3" xfId="8" xr:uid="{00000000-0005-0000-0000-000008000000}"/>
    <cellStyle name="표준 3 2" xfId="9" xr:uid="{00000000-0005-0000-0000-000009000000}"/>
    <cellStyle name="표준 4" xfId="10" xr:uid="{00000000-0005-0000-0000-00000A000000}"/>
    <cellStyle name="하이퍼링크" xfId="11" builtinId="8"/>
  </cellStyles>
  <dxfs count="0"/>
  <tableStyles count="0" defaultTableStyle="TableStyleMedium9" defaultPivotStyle="PivotStyleLight16"/>
  <colors>
    <mruColors>
      <color rgb="FF0066FF"/>
      <color rgb="FF0000FF"/>
      <color rgb="FF0000CC"/>
      <color rgb="FF5454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628650</xdr:colOff>
      <xdr:row>1</xdr:row>
      <xdr:rowOff>123826</xdr:rowOff>
    </xdr:from>
    <xdr:to>
      <xdr:col>14</xdr:col>
      <xdr:colOff>0</xdr:colOff>
      <xdr:row>2</xdr:row>
      <xdr:rowOff>276225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6610350" y="123826"/>
          <a:ext cx="4972050" cy="40004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r" rtl="0">
            <a:lnSpc>
              <a:spcPts val="800"/>
            </a:lnSpc>
            <a:defRPr sz="1000"/>
          </a:pPr>
          <a:r>
            <a:rPr lang="en-US" altLang="ko-KR" sz="800" b="0" i="0" strike="noStrike">
              <a:solidFill>
                <a:schemeClr val="accent6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http://www.gomlab.com </a:t>
          </a:r>
        </a:p>
        <a:p>
          <a:pPr algn="r" rtl="0">
            <a:lnSpc>
              <a:spcPts val="1100"/>
            </a:lnSpc>
            <a:defRPr sz="1000"/>
          </a:pPr>
          <a:r>
            <a:rPr lang="ko-KR" altLang="en-US" sz="800" b="0" i="0" strike="noStrike">
              <a:solidFill>
                <a:srgbClr val="808080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서울시 강남구 개포로 </a:t>
          </a:r>
          <a:r>
            <a:rPr lang="en-US" altLang="ko-KR" sz="800" b="0" i="0" strike="noStrike">
              <a:solidFill>
                <a:srgbClr val="808080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216 </a:t>
          </a:r>
          <a:r>
            <a:rPr lang="ko-KR" altLang="en-US" sz="800" b="0" i="0" strike="noStrike">
              <a:solidFill>
                <a:srgbClr val="808080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곰앤컴퍼니빌딩 </a:t>
          </a:r>
          <a:r>
            <a:rPr lang="en-US" altLang="ko-KR" sz="800" b="0" i="0" strike="noStrike" baseline="0">
              <a:solidFill>
                <a:srgbClr val="808080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(</a:t>
          </a:r>
          <a:r>
            <a:rPr lang="ko-KR" altLang="en-US" sz="800" b="0" i="0" strike="noStrike" baseline="0">
              <a:solidFill>
                <a:srgbClr val="808080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주</a:t>
          </a:r>
          <a:r>
            <a:rPr lang="en-US" altLang="ko-KR" sz="800" b="0" i="0" strike="noStrike" baseline="0">
              <a:solidFill>
                <a:srgbClr val="808080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)</a:t>
          </a:r>
          <a:r>
            <a:rPr lang="ko-KR" altLang="en-US" sz="800" b="0" i="0" strike="noStrike" baseline="0">
              <a:solidFill>
                <a:srgbClr val="808080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곰앤컴퍼니 광고운영셀</a:t>
          </a:r>
          <a:endParaRPr lang="ko-KR" altLang="en-US" sz="800" b="0" i="0" strike="noStrike">
            <a:solidFill>
              <a:srgbClr val="969696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 editAs="oneCell">
    <xdr:from>
      <xdr:col>1</xdr:col>
      <xdr:colOff>47625</xdr:colOff>
      <xdr:row>1</xdr:row>
      <xdr:rowOff>142875</xdr:rowOff>
    </xdr:from>
    <xdr:to>
      <xdr:col>2</xdr:col>
      <xdr:colOff>268432</xdr:colOff>
      <xdr:row>2</xdr:row>
      <xdr:rowOff>53775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90500" y="285750"/>
          <a:ext cx="906607" cy="158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R24"/>
  <sheetViews>
    <sheetView showGridLines="0" tabSelected="1" zoomScaleNormal="100" workbookViewId="0"/>
  </sheetViews>
  <sheetFormatPr defaultRowHeight="11.25"/>
  <cols>
    <col min="1" max="1" width="1.875" style="3" customWidth="1"/>
    <col min="2" max="2" width="9" style="3" customWidth="1"/>
    <col min="3" max="3" width="22" style="3" customWidth="1"/>
    <col min="4" max="4" width="20.625" style="3" customWidth="1"/>
    <col min="5" max="5" width="17.875" style="3" customWidth="1"/>
    <col min="6" max="6" width="12.5" style="3" customWidth="1"/>
    <col min="7" max="7" width="17" style="3" customWidth="1"/>
    <col min="8" max="9" width="15.125" style="3" customWidth="1"/>
    <col min="10" max="11" width="14.375" style="4" customWidth="1"/>
    <col min="12" max="12" width="14.375" style="5" customWidth="1"/>
    <col min="13" max="14" width="14.375" style="4" customWidth="1"/>
    <col min="15" max="15" width="14.375" style="3" customWidth="1"/>
    <col min="16" max="16" width="11.375" style="3" bestFit="1" customWidth="1"/>
    <col min="17" max="17" width="10.5" style="3" bestFit="1" customWidth="1"/>
    <col min="18" max="18" width="9" style="3"/>
    <col min="19" max="19" width="10.5" style="3" bestFit="1" customWidth="1"/>
    <col min="20" max="16384" width="9" style="3"/>
  </cols>
  <sheetData>
    <row r="2" spans="1:18" ht="19.5" customHeight="1">
      <c r="A2" s="2"/>
      <c r="B2" s="6"/>
      <c r="C2" s="6"/>
      <c r="D2" s="6"/>
      <c r="E2" s="6"/>
      <c r="F2" s="6"/>
      <c r="G2" s="6"/>
      <c r="H2" s="6"/>
      <c r="I2" s="6"/>
      <c r="J2" s="7"/>
      <c r="K2" s="8"/>
      <c r="L2" s="7"/>
      <c r="M2" s="7"/>
      <c r="N2" s="7"/>
    </row>
    <row r="3" spans="1:18" ht="22.5" customHeight="1">
      <c r="A3" s="2"/>
      <c r="B3" s="6"/>
      <c r="C3" s="6"/>
      <c r="D3" s="6"/>
      <c r="E3" s="6"/>
      <c r="F3" s="6"/>
      <c r="G3" s="6"/>
      <c r="H3" s="6"/>
      <c r="I3" s="6"/>
      <c r="J3" s="7"/>
      <c r="K3" s="8"/>
      <c r="L3" s="7"/>
      <c r="M3" s="7"/>
      <c r="N3" s="7"/>
    </row>
    <row r="4" spans="1:18" s="11" customFormat="1" ht="19.5" customHeight="1">
      <c r="A4" s="9"/>
      <c r="B4" s="10" t="s">
        <v>0</v>
      </c>
      <c r="C4" s="57"/>
      <c r="D4" s="57"/>
      <c r="F4" s="54" t="s">
        <v>1</v>
      </c>
      <c r="G4" s="54"/>
      <c r="H4" s="55"/>
      <c r="I4" s="55"/>
      <c r="J4" s="55"/>
      <c r="K4" s="54" t="s">
        <v>2</v>
      </c>
      <c r="L4" s="54"/>
      <c r="M4" s="55" t="s">
        <v>3</v>
      </c>
      <c r="N4" s="55"/>
    </row>
    <row r="5" spans="1:18" s="11" customFormat="1" ht="19.5" customHeight="1">
      <c r="A5" s="9"/>
      <c r="B5" s="10" t="s">
        <v>4</v>
      </c>
      <c r="C5" s="56" t="s">
        <v>5</v>
      </c>
      <c r="D5" s="56"/>
      <c r="F5" s="54" t="s">
        <v>6</v>
      </c>
      <c r="G5" s="54"/>
      <c r="H5" s="55"/>
      <c r="I5" s="55"/>
      <c r="J5" s="55"/>
      <c r="K5" s="54" t="s">
        <v>6</v>
      </c>
      <c r="L5" s="54"/>
      <c r="M5" s="55" t="s">
        <v>7</v>
      </c>
      <c r="N5" s="55"/>
    </row>
    <row r="6" spans="1:18" s="11" customFormat="1" ht="19.5" customHeight="1">
      <c r="B6" s="10" t="s">
        <v>8</v>
      </c>
      <c r="C6" s="58" t="s">
        <v>9</v>
      </c>
      <c r="D6" s="58"/>
      <c r="F6" s="54" t="s">
        <v>10</v>
      </c>
      <c r="G6" s="54"/>
      <c r="H6" s="59" t="s">
        <v>11</v>
      </c>
      <c r="I6" s="59"/>
      <c r="J6" s="59"/>
      <c r="K6" s="54" t="s">
        <v>12</v>
      </c>
      <c r="L6" s="54"/>
      <c r="M6" s="55" t="s">
        <v>13</v>
      </c>
      <c r="N6" s="55"/>
    </row>
    <row r="7" spans="1:18" s="15" customFormat="1" ht="21.75" customHeight="1">
      <c r="B7" s="16" t="s">
        <v>14</v>
      </c>
      <c r="C7" s="17"/>
      <c r="D7" s="18"/>
      <c r="E7" s="19"/>
      <c r="F7" s="19"/>
      <c r="G7" s="19"/>
      <c r="H7" s="20"/>
      <c r="I7" s="20"/>
      <c r="J7" s="20"/>
      <c r="K7" s="19"/>
      <c r="L7" s="19"/>
      <c r="M7" s="21"/>
      <c r="N7" s="21"/>
      <c r="P7" s="24"/>
      <c r="R7" s="23"/>
    </row>
    <row r="8" spans="1:18" s="15" customFormat="1" ht="19.5" customHeight="1">
      <c r="B8" s="22" t="s">
        <v>15</v>
      </c>
      <c r="C8" s="17"/>
      <c r="D8" s="18"/>
      <c r="E8" s="19"/>
      <c r="F8" s="19"/>
      <c r="G8" s="19"/>
      <c r="H8" s="20"/>
      <c r="I8" s="20"/>
      <c r="J8" s="20"/>
      <c r="K8" s="19"/>
      <c r="L8" s="19"/>
      <c r="M8" s="21"/>
      <c r="N8" s="21"/>
      <c r="O8" s="23"/>
    </row>
    <row r="9" spans="1:18" ht="8.25" customHeight="1"/>
    <row r="10" spans="1:18" s="12" customFormat="1" ht="11.25" customHeight="1">
      <c r="B10" s="28" t="s">
        <v>16</v>
      </c>
      <c r="I10" s="60">
        <v>0.3</v>
      </c>
      <c r="J10" s="13"/>
      <c r="K10" s="13"/>
      <c r="L10" s="14"/>
      <c r="M10" s="13"/>
      <c r="N10" s="13"/>
    </row>
    <row r="11" spans="1:18" s="1" customFormat="1" ht="21.75" customHeight="1">
      <c r="B11" s="34" t="s">
        <v>17</v>
      </c>
      <c r="C11" s="34" t="s">
        <v>18</v>
      </c>
      <c r="D11" s="34" t="s">
        <v>19</v>
      </c>
      <c r="E11" s="34" t="s">
        <v>20</v>
      </c>
      <c r="F11" s="34" t="s">
        <v>21</v>
      </c>
      <c r="G11" s="34" t="s">
        <v>22</v>
      </c>
      <c r="H11" s="35" t="s">
        <v>23</v>
      </c>
      <c r="I11" s="35" t="s">
        <v>24</v>
      </c>
      <c r="J11" s="36" t="s">
        <v>25</v>
      </c>
      <c r="K11" s="37" t="s">
        <v>26</v>
      </c>
      <c r="L11" s="36" t="s">
        <v>27</v>
      </c>
      <c r="M11" s="36" t="s">
        <v>28</v>
      </c>
      <c r="N11" s="64" t="s">
        <v>4</v>
      </c>
      <c r="O11" s="63" t="s">
        <v>29</v>
      </c>
    </row>
    <row r="12" spans="1:18" s="1" customFormat="1" ht="30" customHeight="1">
      <c r="B12" s="44" t="s">
        <v>11</v>
      </c>
      <c r="C12" s="45" t="s">
        <v>30</v>
      </c>
      <c r="D12" s="29" t="s">
        <v>31</v>
      </c>
      <c r="E12" s="51" t="s">
        <v>32</v>
      </c>
      <c r="F12" s="29" t="s">
        <v>33</v>
      </c>
      <c r="G12" s="30" t="s">
        <v>34</v>
      </c>
      <c r="H12" s="31">
        <v>5000000</v>
      </c>
      <c r="I12" s="31">
        <f>H12*$I$10</f>
        <v>1500000</v>
      </c>
      <c r="J12" s="31">
        <v>10</v>
      </c>
      <c r="K12" s="32">
        <v>0.01</v>
      </c>
      <c r="L12" s="31">
        <f>SUM(H12:I12)*K12</f>
        <v>65000</v>
      </c>
      <c r="M12" s="33">
        <v>20000000</v>
      </c>
      <c r="N12" s="65">
        <v>30000000</v>
      </c>
      <c r="O12" s="67">
        <f>(M15/N15)-1</f>
        <v>0.22999999999999998</v>
      </c>
    </row>
    <row r="13" spans="1:18" s="1" customFormat="1" ht="30" customHeight="1">
      <c r="B13" s="44"/>
      <c r="C13" s="46"/>
      <c r="D13" s="29" t="s">
        <v>35</v>
      </c>
      <c r="E13" s="52"/>
      <c r="F13" s="29" t="s">
        <v>9</v>
      </c>
      <c r="G13" s="30" t="s">
        <v>36</v>
      </c>
      <c r="H13" s="31">
        <v>60000000</v>
      </c>
      <c r="I13" s="31">
        <f t="shared" ref="I13:I14" si="0">H13*$I$10</f>
        <v>18000000</v>
      </c>
      <c r="J13" s="31">
        <v>150</v>
      </c>
      <c r="K13" s="32">
        <v>1E-3</v>
      </c>
      <c r="L13" s="31">
        <f>SUM(H13:I13)*K13</f>
        <v>78000</v>
      </c>
      <c r="M13" s="33">
        <f>J13*L13</f>
        <v>11700000</v>
      </c>
      <c r="N13" s="66"/>
      <c r="O13" s="67"/>
    </row>
    <row r="14" spans="1:18" s="1" customFormat="1" ht="30" customHeight="1">
      <c r="B14" s="44"/>
      <c r="C14" s="47"/>
      <c r="D14" s="29" t="s">
        <v>37</v>
      </c>
      <c r="E14" s="53"/>
      <c r="F14" s="29" t="s">
        <v>38</v>
      </c>
      <c r="G14" s="30" t="s">
        <v>36</v>
      </c>
      <c r="H14" s="31">
        <v>400000</v>
      </c>
      <c r="I14" s="31">
        <f t="shared" si="0"/>
        <v>120000</v>
      </c>
      <c r="J14" s="31">
        <v>10</v>
      </c>
      <c r="K14" s="32">
        <v>1</v>
      </c>
      <c r="L14" s="31">
        <f>SUM(H14:I14)*K14</f>
        <v>520000</v>
      </c>
      <c r="M14" s="33">
        <f>J14*L14</f>
        <v>5200000</v>
      </c>
      <c r="N14" s="61"/>
      <c r="O14" s="67"/>
    </row>
    <row r="15" spans="1:18" s="1" customFormat="1" ht="24.75" customHeight="1">
      <c r="B15" s="48" t="s">
        <v>39</v>
      </c>
      <c r="C15" s="49"/>
      <c r="D15" s="50"/>
      <c r="E15" s="38"/>
      <c r="F15" s="39"/>
      <c r="G15" s="39"/>
      <c r="H15" s="40">
        <f>SUM(H12:H13)</f>
        <v>65000000</v>
      </c>
      <c r="I15" s="40">
        <f>SUM(I12:I13)</f>
        <v>19500000</v>
      </c>
      <c r="J15" s="41"/>
      <c r="K15" s="42"/>
      <c r="L15" s="40"/>
      <c r="M15" s="43">
        <f>SUM(M12:M14)</f>
        <v>36900000</v>
      </c>
      <c r="N15" s="62">
        <f>SUM(N12:N12)</f>
        <v>30000000</v>
      </c>
      <c r="O15" s="67"/>
    </row>
    <row r="16" spans="1:18" ht="16.5" customHeight="1">
      <c r="B16" s="25"/>
      <c r="C16" s="25"/>
      <c r="D16" s="25"/>
      <c r="E16" s="25"/>
      <c r="F16" s="25"/>
      <c r="G16" s="25"/>
      <c r="H16" s="25"/>
      <c r="I16" s="25"/>
      <c r="J16" s="25"/>
      <c r="K16" s="26"/>
      <c r="L16" s="26"/>
      <c r="M16" s="27"/>
      <c r="N16" s="26"/>
      <c r="O16" s="4"/>
    </row>
    <row r="18" spans="2:15">
      <c r="B18" s="28" t="s">
        <v>40</v>
      </c>
      <c r="C18" s="12"/>
      <c r="D18" s="12"/>
      <c r="E18" s="12"/>
      <c r="F18" s="12"/>
      <c r="G18" s="12"/>
      <c r="H18" s="12"/>
      <c r="I18" s="60">
        <v>0.5</v>
      </c>
      <c r="J18" s="13"/>
      <c r="K18" s="13"/>
      <c r="L18" s="14"/>
      <c r="M18" s="13"/>
      <c r="N18" s="13"/>
    </row>
    <row r="19" spans="2:15" ht="21.75" customHeight="1">
      <c r="B19" s="34" t="s">
        <v>17</v>
      </c>
      <c r="C19" s="34" t="s">
        <v>18</v>
      </c>
      <c r="D19" s="34" t="s">
        <v>19</v>
      </c>
      <c r="E19" s="34" t="s">
        <v>20</v>
      </c>
      <c r="F19" s="34" t="s">
        <v>21</v>
      </c>
      <c r="G19" s="34" t="s">
        <v>22</v>
      </c>
      <c r="H19" s="35" t="s">
        <v>23</v>
      </c>
      <c r="I19" s="35" t="s">
        <v>24</v>
      </c>
      <c r="J19" s="36" t="s">
        <v>25</v>
      </c>
      <c r="K19" s="37" t="s">
        <v>26</v>
      </c>
      <c r="L19" s="36" t="s">
        <v>27</v>
      </c>
      <c r="M19" s="36" t="s">
        <v>28</v>
      </c>
      <c r="N19" s="64" t="s">
        <v>4</v>
      </c>
      <c r="O19" s="63" t="s">
        <v>29</v>
      </c>
    </row>
    <row r="20" spans="2:15" ht="30" customHeight="1">
      <c r="B20" s="44" t="s">
        <v>11</v>
      </c>
      <c r="C20" s="45" t="s">
        <v>30</v>
      </c>
      <c r="D20" s="29" t="s">
        <v>31</v>
      </c>
      <c r="E20" s="51" t="s">
        <v>32</v>
      </c>
      <c r="F20" s="29" t="s">
        <v>33</v>
      </c>
      <c r="G20" s="30" t="s">
        <v>34</v>
      </c>
      <c r="H20" s="31">
        <v>10000000</v>
      </c>
      <c r="I20" s="31">
        <f>H20*$I$18</f>
        <v>5000000</v>
      </c>
      <c r="J20" s="31">
        <v>10</v>
      </c>
      <c r="K20" s="32">
        <v>0.01</v>
      </c>
      <c r="L20" s="31">
        <f>SUM(H20:I20)*K20</f>
        <v>150000</v>
      </c>
      <c r="M20" s="33">
        <v>40000000</v>
      </c>
      <c r="N20" s="65">
        <v>50000000</v>
      </c>
      <c r="O20" s="67">
        <f>(M24/N24)-1</f>
        <v>0.31600000000000006</v>
      </c>
    </row>
    <row r="21" spans="2:15" ht="30" customHeight="1">
      <c r="B21" s="44"/>
      <c r="C21" s="46"/>
      <c r="D21" s="29" t="s">
        <v>35</v>
      </c>
      <c r="E21" s="52"/>
      <c r="F21" s="29" t="s">
        <v>9</v>
      </c>
      <c r="G21" s="30" t="s">
        <v>36</v>
      </c>
      <c r="H21" s="31">
        <v>80000000</v>
      </c>
      <c r="I21" s="31">
        <f t="shared" ref="I21:I23" si="1">H21*$I$18</f>
        <v>40000000</v>
      </c>
      <c r="J21" s="31">
        <v>150</v>
      </c>
      <c r="K21" s="32">
        <v>1E-3</v>
      </c>
      <c r="L21" s="31">
        <f t="shared" ref="L21:L23" si="2">SUM(H21:I21)*K21</f>
        <v>120000</v>
      </c>
      <c r="M21" s="33">
        <f>J21*L21</f>
        <v>18000000</v>
      </c>
      <c r="N21" s="66"/>
      <c r="O21" s="67"/>
    </row>
    <row r="22" spans="2:15" ht="30" customHeight="1">
      <c r="B22" s="44"/>
      <c r="C22" s="46"/>
      <c r="D22" s="29" t="s">
        <v>37</v>
      </c>
      <c r="E22" s="52"/>
      <c r="F22" s="29" t="s">
        <v>38</v>
      </c>
      <c r="G22" s="30" t="s">
        <v>36</v>
      </c>
      <c r="H22" s="31">
        <v>400000</v>
      </c>
      <c r="I22" s="31">
        <f t="shared" si="1"/>
        <v>200000</v>
      </c>
      <c r="J22" s="31">
        <v>10</v>
      </c>
      <c r="K22" s="32">
        <v>1</v>
      </c>
      <c r="L22" s="31">
        <f t="shared" si="2"/>
        <v>600000</v>
      </c>
      <c r="M22" s="33">
        <f t="shared" ref="M22:M23" si="3">J22*L22</f>
        <v>6000000</v>
      </c>
      <c r="N22" s="66"/>
      <c r="O22" s="67"/>
    </row>
    <row r="23" spans="2:15" ht="30" customHeight="1">
      <c r="B23" s="44"/>
      <c r="C23" s="47"/>
      <c r="D23" s="29" t="s">
        <v>41</v>
      </c>
      <c r="E23" s="53"/>
      <c r="F23" s="29" t="s">
        <v>42</v>
      </c>
      <c r="G23" s="30" t="s">
        <v>36</v>
      </c>
      <c r="H23" s="31">
        <v>6000000</v>
      </c>
      <c r="I23" s="31">
        <f t="shared" si="1"/>
        <v>3000000</v>
      </c>
      <c r="J23" s="31">
        <v>200</v>
      </c>
      <c r="K23" s="32">
        <v>1E-3</v>
      </c>
      <c r="L23" s="31">
        <f t="shared" si="2"/>
        <v>9000</v>
      </c>
      <c r="M23" s="33">
        <f t="shared" si="3"/>
        <v>1800000</v>
      </c>
      <c r="N23" s="61"/>
      <c r="O23" s="67"/>
    </row>
    <row r="24" spans="2:15" ht="24.75" customHeight="1">
      <c r="B24" s="48" t="s">
        <v>39</v>
      </c>
      <c r="C24" s="49"/>
      <c r="D24" s="50"/>
      <c r="E24" s="38"/>
      <c r="F24" s="39"/>
      <c r="G24" s="39"/>
      <c r="H24" s="40">
        <f>SUM(H20:H21)</f>
        <v>90000000</v>
      </c>
      <c r="I24" s="40">
        <f>SUM(I20:I21)</f>
        <v>45000000</v>
      </c>
      <c r="J24" s="41"/>
      <c r="K24" s="42"/>
      <c r="L24" s="40"/>
      <c r="M24" s="43">
        <f>SUM(M20:M23)</f>
        <v>65800000</v>
      </c>
      <c r="N24" s="62">
        <f>SUM(N20:N20)</f>
        <v>50000000</v>
      </c>
      <c r="O24" s="67"/>
    </row>
  </sheetData>
  <mergeCells count="27">
    <mergeCell ref="O20:O24"/>
    <mergeCell ref="F6:G6"/>
    <mergeCell ref="H6:J6"/>
    <mergeCell ref="B12:B14"/>
    <mergeCell ref="C12:C14"/>
    <mergeCell ref="O12:O15"/>
    <mergeCell ref="N12:N14"/>
    <mergeCell ref="N20:N23"/>
    <mergeCell ref="K4:L4"/>
    <mergeCell ref="M4:N4"/>
    <mergeCell ref="C5:D5"/>
    <mergeCell ref="F5:G5"/>
    <mergeCell ref="H5:J5"/>
    <mergeCell ref="K5:L5"/>
    <mergeCell ref="M5:N5"/>
    <mergeCell ref="C4:D4"/>
    <mergeCell ref="F4:G4"/>
    <mergeCell ref="H4:J4"/>
    <mergeCell ref="B15:D15"/>
    <mergeCell ref="K6:L6"/>
    <mergeCell ref="M6:N6"/>
    <mergeCell ref="C6:D6"/>
    <mergeCell ref="B20:B23"/>
    <mergeCell ref="C20:C23"/>
    <mergeCell ref="B24:D24"/>
    <mergeCell ref="E12:E14"/>
    <mergeCell ref="E20:E23"/>
  </mergeCells>
  <phoneticPr fontId="4" type="noConversion"/>
  <pageMargins left="0.15748031496062992" right="0.15748031496062992" top="0.74803149606299213" bottom="0.74803149606299213" header="0.31496062992125984" footer="0.31496062992125984"/>
  <pageSetup paperSize="9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Gretech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hyejin lim</dc:creator>
  <cp:keywords/>
  <dc:description/>
  <cp:lastModifiedBy>박성훈</cp:lastModifiedBy>
  <cp:revision/>
  <dcterms:created xsi:type="dcterms:W3CDTF">2008-03-04T05:45:13Z</dcterms:created>
  <dcterms:modified xsi:type="dcterms:W3CDTF">2023-09-21T08:03:38Z</dcterms:modified>
  <cp:category/>
  <cp:contentStatus/>
</cp:coreProperties>
</file>